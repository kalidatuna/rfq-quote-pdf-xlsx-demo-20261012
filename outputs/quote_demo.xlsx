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 Summary" sheetId="1" r:id="rId1"/>
    <sheet name="Quote Draft" sheetId="2" r:id="rId2"/>
    <sheet name="Review Queue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0"/>
      <name val="Aptos"/>
    </font>
    <font>
      <b/>
      <sz val="10"/>
      <color rgb="FFFFFFFF"/>
      <name val="Aptos"/>
    </font>
    <font>
      <b/>
      <sz val="15"/>
      <color rgb="FF142D48"/>
      <name val="Aptos"/>
    </font>
    <font>
      <b/>
      <sz val="10"/>
      <color rgb="FF142D48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A5E"/>
        <bgColor indexed="64"/>
      </patternFill>
    </fill>
    <fill>
      <patternFill patternType="solid">
        <fgColor rgb="FFE6F2FA"/>
        <bgColor indexed="64"/>
      </patternFill>
    </fill>
    <fill>
      <patternFill patternType="solid">
        <fgColor rgb="FFFFF0CE"/>
        <bgColor indexed="64"/>
      </patternFill>
    </fill>
    <fill>
      <patternFill patternType="solid">
        <fgColor rgb="FFE5F4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ill="1" applyFont="1" applyAlignment="1">
      <alignment vertical="center" wrapText="1"/>
    </xf>
    <xf numFmtId="0" fontId="3" fillId="3" borderId="0" xfId="0" applyFill="1" applyFont="1"/>
    <xf numFmtId="0" fontId="0" fillId="5" borderId="0" xfId="0" applyFill="1"/>
    <xf numFmtId="0" fontId="0" fillId="4" borderId="0" xfId="0" applyFill="1"/>
    <xf numFmtId="164" fontId="0" fillId="0" borderId="0" xfId="0" applyNumberFormat="1"/>
    <xf numFmtId="0" fontId="2" fillId="0" borderId="0" xfId="0" applyFont="1"/>
    <xf numFmtId="164" fontId="3" fillId="3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3" customWidth="1"/>
    <col min="2" max="2" width="60" customWidth="1"/>
  </cols>
  <sheetData>
    <row r="1" ht="24" customHeight="1">
      <c r="A1" s="6" t="inlineStr">
        <is>
          <t xml:space="preserve">SYNTHETIC RFQ | DEMO ONLY — NOT A CLIENT QUOTE</t>
        </is>
      </c>
    </row>
    <row r="2" ht="20" customHeight="1">
      <c r="A2" s="0" t="inlineStr">
        <is>
          <t xml:space="preserve">Every price must be supported by the approved source. No quote may be sent without human review.</t>
        </is>
      </c>
    </row>
    <row r="3" ht="20" customHeight="1"/>
    <row r="4" ht="20" customHeight="1">
      <c r="A4" s="2" t="inlineStr">
        <is>
          <t xml:space="preserve">RFQ reference</t>
        </is>
      </c>
      <c r="B4" s="0" t="inlineStr">
        <is>
          <t xml:space="preserve">RFQ-DEMO-20261012-A</t>
        </is>
      </c>
    </row>
    <row r="5" ht="20" customHeight="1">
      <c r="A5" s="2" t="inlineStr">
        <is>
          <t xml:space="preserve">Currency</t>
        </is>
      </c>
      <c r="B5" s="0" t="inlineStr">
        <is>
          <t xml:space="preserve">USD</t>
        </is>
      </c>
    </row>
    <row r="6" ht="20" customHeight="1">
      <c r="A6" s="2" t="inlineStr">
        <is>
          <t xml:space="preserve">Catalogue version</t>
        </is>
      </c>
      <c r="B6" s="0" t="inlineStr">
        <is>
          <t xml:space="preserve">CAT-DEMO-V1</t>
        </is>
      </c>
    </row>
    <row r="7" ht="20" customHeight="1">
      <c r="A7" s="2" t="inlineStr">
        <is>
          <t xml:space="preserve">Approved price version</t>
        </is>
      </c>
      <c r="B7" s="0" t="inlineStr">
        <is>
          <t xml:space="preserve">PR-DEMO-V1</t>
        </is>
      </c>
    </row>
    <row r="8" ht="20" customHeight="1">
      <c r="A8" s="2" t="inlineStr">
        <is>
          <t xml:space="preserve">PDF fixture</t>
        </is>
      </c>
      <c r="B8" s="0" t="inlineStr">
        <is>
          <t xml:space="preserve">synthetic_rfq.pdf</t>
        </is>
      </c>
    </row>
    <row r="9" ht="20" customHeight="1"/>
    <row r="10" ht="20" customHeight="1">
      <c r="A10" s="2" t="inlineStr">
        <is>
          <t xml:space="preserve">RFQ lines</t>
        </is>
      </c>
      <c r="B10" s="0">
        <f>COUNTA('Quote Draft'!A5:A14)</f>
        <v>10</v>
      </c>
    </row>
    <row r="11" ht="20" customHeight="1">
      <c r="A11" s="2" t="inlineStr">
        <is>
          <t xml:space="preserve">Priced lines</t>
        </is>
      </c>
      <c r="B11" s="0">
        <f>COUNTIF('Quote Draft'!J5:J14,"APPROVED")</f>
        <v>2</v>
      </c>
    </row>
    <row r="12" ht="20" customHeight="1">
      <c r="A12" s="2" t="inlineStr">
        <is>
          <t xml:space="preserve">Human-review lines</t>
        </is>
      </c>
      <c r="B12" s="0">
        <f>B10-B11</f>
        <v>8</v>
      </c>
    </row>
    <row r="13" ht="20" customHeight="1">
      <c r="A13" s="2" t="inlineStr">
        <is>
          <t xml:space="preserve">Approved-lines subtotal (not grand total)</t>
        </is>
      </c>
      <c r="B13" s="7">
        <f>SUM('Quote Draft'!I5:I14)</f>
        <v>61.25</v>
      </c>
    </row>
    <row r="14" ht="20" customHeight="1">
      <c r="A14" s="2" t="inlineStr">
        <is>
          <t xml:space="preserve">Final quotation status</t>
        </is>
      </c>
      <c r="B14" s="0" t="inlineStr">
        <is>
          <t xml:space="preserve">DRAFT / NOT APPROVED / DO NOT SEND</t>
        </is>
      </c>
    </row>
    <row r="15" ht="20" customHeight="1"/>
    <row r="16" ht="20" customHeight="1">
      <c r="A16" s="2" t="inlineStr">
        <is>
          <t xml:space="preserve">RFQ SHA-256</t>
        </is>
      </c>
      <c r="B16" s="0" t="inlineStr">
        <is>
          <t xml:space="preserve">5312e976425d1457d53d13452ab48d096f5132b22492c20ddad83b98db1c03db</t>
        </is>
      </c>
    </row>
    <row r="17" ht="20" customHeight="1">
      <c r="A17" s="2" t="inlineStr">
        <is>
          <t xml:space="preserve">Catalogue CSV SHA-256</t>
        </is>
      </c>
      <c r="B17" s="0" t="inlineStr">
        <is>
          <t xml:space="preserve">afcb0223fae190902924f684b6c7b057714a2dae97fed3b1c3976f70ada36eb3</t>
        </is>
      </c>
    </row>
    <row r="18" ht="20" customHeight="1">
      <c r="A18" s="2" t="inlineStr">
        <is>
          <t xml:space="preserve">Approved prices SHA-256</t>
        </is>
      </c>
      <c r="B18" s="0" t="inlineStr">
        <is>
          <t xml:space="preserve">a44fa5a44054490b6816bd375177ba3940be83e18d588987921665a6bdd82cb0</t>
        </is>
      </c>
    </row>
    <row r="19" ht="20" customHeight="1"/>
    <row r="20" ht="20" customHeight="1">
      <c r="A20" s="2" t="inlineStr">
        <is>
          <t xml:space="preserve">Controls</t>
        </is>
      </c>
      <c r="B20" s="0" t="inlineStr">
        <is>
          <t xml:space="preserve">Exact SKU and unit only; no automatic substitution or conversion</t>
        </is>
      </c>
    </row>
    <row r="21" ht="20" customHeight="1">
      <c r="B21" s="0" t="inlineStr">
        <is>
          <t xml:space="preserve">Price and catalogue row numbers are physical CSV rows (header = row 1)</t>
        </is>
      </c>
    </row>
    <row r="22" ht="20" customHeight="1">
      <c r="B22" s="0" t="inlineStr">
        <is>
          <t xml:space="preserve">Review sheet is an annotation queue, never a price approval workflow</t>
        </is>
      </c>
    </row>
    <row r="23" ht="20" customHeight="1">
      <c r="B23" s="0" t="inlineStr">
        <is>
          <t xml:space="preserve">Formula totals show confirmed items only; unresolved lines remain unpriced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  <selection pane="bottomLeft" activeCell="A5" sqref="A5"/>
    </sheetView>
  </sheetViews>
  <cols>
    <col min="1" max="1" width="12" customWidth="1"/>
    <col min="2" max="2" width="20" customWidth="1"/>
    <col min="3" max="3" width="33" customWidth="1"/>
    <col min="4" max="4" width="13" customWidth="1"/>
    <col min="5" max="5" width="17" customWidth="1"/>
    <col min="6" max="6" width="38" customWidth="1"/>
    <col min="7" max="7" width="19" customWidth="1"/>
    <col min="8" max="8" width="22" customWidth="1"/>
    <col min="9" max="9" width="23" customWidth="1"/>
    <col min="10" max="10" width="26" customWidth="1"/>
    <col min="11" max="11" width="52" customWidth="1"/>
    <col min="12" max="12" width="27" customWidth="1"/>
    <col min="13" max="13" width="27" customWidth="1"/>
    <col min="14" max="14" width="31" customWidth="1"/>
  </cols>
  <sheetData>
    <row r="1" ht="24" customHeight="1">
      <c r="A1" s="6" t="inlineStr">
        <is>
          <t xml:space="preserve">SYNTHETIC QUOTATION DRAFT — DO NOT SEND</t>
        </is>
      </c>
    </row>
    <row r="2" ht="20" customHeight="1">
      <c r="A2" s="0" t="inlineStr">
        <is>
          <t xml:space="preserve">All prices from the independent approved-price CSV only. Reviewer approval required for all flagged lines.</t>
        </is>
      </c>
    </row>
    <row r="3" ht="20" customHeight="1"/>
    <row r="4" ht="20" customHeight="1">
      <c r="A4" s="1" t="inlineStr">
        <is>
          <t xml:space="preserve">RFQ line</t>
        </is>
      </c>
      <c r="B4" s="1" t="inlineStr">
        <is>
          <t xml:space="preserve">Requested SKU</t>
        </is>
      </c>
      <c r="C4" s="1" t="inlineStr">
        <is>
          <t xml:space="preserve">Requested description</t>
        </is>
      </c>
      <c r="D4" s="1" t="inlineStr">
        <is>
          <t xml:space="preserve">Quantity</t>
        </is>
      </c>
      <c r="E4" s="1" t="inlineStr">
        <is>
          <t xml:space="preserve">Requested unit</t>
        </is>
      </c>
      <c r="F4" s="1" t="inlineStr">
        <is>
          <t xml:space="preserve">Catalogue description</t>
        </is>
      </c>
      <c r="G4" s="1" t="inlineStr">
        <is>
          <t xml:space="preserve">Catalogue unit</t>
        </is>
      </c>
      <c r="H4" s="1" t="inlineStr">
        <is>
          <t xml:space="preserve">Approved unit price</t>
        </is>
      </c>
      <c r="I4" s="1" t="inlineStr">
        <is>
          <t xml:space="preserve">Priced extension</t>
        </is>
      </c>
      <c r="J4" s="1" t="inlineStr">
        <is>
          <t xml:space="preserve">Decision</t>
        </is>
      </c>
      <c r="K4" s="1" t="inlineStr">
        <is>
          <t xml:space="preserve">Review reason / accepted match</t>
        </is>
      </c>
      <c r="L4" s="1" t="inlineStr">
        <is>
          <t xml:space="preserve">Catalogue row ref</t>
        </is>
      </c>
      <c r="M4" s="1" t="inlineStr">
        <is>
          <t xml:space="preserve">Price row ref</t>
        </is>
      </c>
      <c r="N4" s="1" t="inlineStr">
        <is>
          <t xml:space="preserve">Reviewer notes</t>
        </is>
      </c>
    </row>
    <row r="5" ht="20" customHeight="1">
      <c r="A5" s="0">
        <v>1</v>
      </c>
      <c r="B5" s="0" t="inlineStr">
        <is>
          <t xml:space="preserve">BRK-20A</t>
        </is>
      </c>
      <c r="C5" s="0" t="inlineStr">
        <is>
          <t xml:space="preserve">Miniature circuit breaker 20A</t>
        </is>
      </c>
      <c r="D5" s="0">
        <v>4</v>
      </c>
      <c r="E5" s="0" t="inlineStr">
        <is>
          <t xml:space="preserve">EA</t>
        </is>
      </c>
      <c r="F5" s="0" t="inlineStr">
        <is>
          <t xml:space="preserve">Miniature circuit breaker 20A</t>
        </is>
      </c>
      <c r="G5" s="0" t="inlineStr">
        <is>
          <t xml:space="preserve">EA</t>
        </is>
      </c>
      <c r="H5" s="5">
        <v>12.50</v>
      </c>
      <c r="I5" s="5">
        <f>IF(J5="APPROVED",ROUND(D5*H5,2),"")</f>
        <v>50.00</v>
      </c>
      <c r="J5" s="3" t="inlineStr">
        <is>
          <t xml:space="preserve">APPROVED</t>
        </is>
      </c>
      <c r="K5" s="0" t="inlineStr">
        <is>
          <t xml:space="preserve">Exact SKU, unit and approved reference price</t>
        </is>
      </c>
      <c r="L5" s="0" t="inlineStr">
        <is>
          <t xml:space="preserve">CAT-DEMO-V1:row2</t>
        </is>
      </c>
      <c r="M5" s="0" t="inlineStr">
        <is>
          <t xml:space="preserve">PR-DEMO-V1:row2</t>
        </is>
      </c>
    </row>
    <row r="6" ht="20" customHeight="1">
      <c r="A6" s="0">
        <v>2</v>
      </c>
      <c r="B6" s="0" t="inlineStr">
        <is>
          <t xml:space="preserve">CAB-2M</t>
        </is>
      </c>
      <c r="C6" s="0" t="inlineStr">
        <is>
          <t xml:space="preserve">Power cable 2 metres</t>
        </is>
      </c>
      <c r="D6" s="0">
        <v>3</v>
      </c>
      <c r="E6" s="0" t="inlineStr">
        <is>
          <t xml:space="preserve">EA</t>
        </is>
      </c>
      <c r="F6" s="0" t="inlineStr">
        <is>
          <t xml:space="preserve">Power cable 2 metres</t>
        </is>
      </c>
      <c r="G6" s="0" t="inlineStr">
        <is>
          <t xml:space="preserve">EA</t>
        </is>
      </c>
      <c r="H6" s="5">
        <v>3.75</v>
      </c>
      <c r="I6" s="5">
        <f>IF(J6="APPROVED",ROUND(D6*H6,2),"")</f>
        <v>11.25</v>
      </c>
      <c r="J6" s="3" t="inlineStr">
        <is>
          <t xml:space="preserve">APPROVED</t>
        </is>
      </c>
      <c r="K6" s="0" t="inlineStr">
        <is>
          <t xml:space="preserve">Exact SKU, unit and approved reference price</t>
        </is>
      </c>
      <c r="L6" s="0" t="inlineStr">
        <is>
          <t xml:space="preserve">CAT-DEMO-V1:row3</t>
        </is>
      </c>
      <c r="M6" s="0" t="inlineStr">
        <is>
          <t xml:space="preserve">PR-DEMO-V1:row3</t>
        </is>
      </c>
    </row>
    <row r="7" ht="20" customHeight="1">
      <c r="A7" s="0">
        <v>3</v>
      </c>
      <c r="B7" s="0" t="inlineStr">
        <is>
          <t xml:space="preserve">NOT-999</t>
        </is>
      </c>
      <c r="C7" s="0" t="inlineStr">
        <is>
          <t xml:space="preserve">Imaginary DIN rail adaptor</t>
        </is>
      </c>
      <c r="D7" s="0">
        <v>1</v>
      </c>
      <c r="E7" s="0" t="inlineStr">
        <is>
          <t xml:space="preserve">EA</t>
        </is>
      </c>
      <c r="I7" s="5" t="str">
        <f>IF(J7="APPROVED",ROUND(D7*H7,2),"")</f>
        <v/>
      </c>
      <c r="J7" s="4" t="inlineStr">
        <is>
          <t xml:space="preserve">UNKNOWN_SKU</t>
        </is>
      </c>
      <c r="K7" s="0" t="inlineStr">
        <is>
          <t xml:space="preserve">Code absent from catalogue; no description substitution</t>
        </is>
      </c>
    </row>
    <row r="8" ht="20" customHeight="1">
      <c r="A8" s="0">
        <v>4</v>
      </c>
      <c r="B8" s="0" t="inlineStr">
        <is>
          <t xml:space="preserve">LGT-12W</t>
        </is>
      </c>
      <c r="C8" s="0" t="inlineStr">
        <is>
          <t xml:space="preserve">LED downlight 12W</t>
        </is>
      </c>
      <c r="D8" s="0">
        <v>5</v>
      </c>
      <c r="E8" s="0" t="inlineStr">
        <is>
          <t xml:space="preserve">M</t>
        </is>
      </c>
      <c r="F8" s="0" t="inlineStr">
        <is>
          <t xml:space="preserve">LED downlight 12W</t>
        </is>
      </c>
      <c r="G8" s="0" t="inlineStr">
        <is>
          <t xml:space="preserve">EA</t>
        </is>
      </c>
      <c r="I8" s="5" t="str">
        <f>IF(J8="APPROVED",ROUND(D8*H8,2),"")</f>
        <v/>
      </c>
      <c r="J8" s="4" t="inlineStr">
        <is>
          <t xml:space="preserve">UNIT_MISMATCH</t>
        </is>
      </c>
      <c r="K8" s="0" t="inlineStr">
        <is>
          <t xml:space="preserve">Unit mismatch; no implicit pack or length conversion</t>
        </is>
      </c>
      <c r="L8" s="0" t="inlineStr">
        <is>
          <t xml:space="preserve">CAT-DEMO-V1:row4</t>
        </is>
      </c>
      <c r="M8" s="0" t="inlineStr">
        <is>
          <t xml:space="preserve">PR-DEMO-V1:row4</t>
        </is>
      </c>
    </row>
    <row r="9" ht="20" customHeight="1">
      <c r="A9" s="0">
        <v>5</v>
      </c>
      <c r="B9" s="0" t="inlineStr">
        <is>
          <t xml:space="preserve">SWT-ONE</t>
        </is>
      </c>
      <c r="C9" s="0" t="inlineStr">
        <is>
          <t xml:space="preserve">Single gang wall switch</t>
        </is>
      </c>
      <c r="D9" s="0">
        <v>6</v>
      </c>
      <c r="E9" s="0" t="inlineStr">
        <is>
          <t xml:space="preserve">EA</t>
        </is>
      </c>
      <c r="F9" s="0" t="inlineStr">
        <is>
          <t xml:space="preserve">Single gang wall switch</t>
        </is>
      </c>
      <c r="G9" s="0" t="inlineStr">
        <is>
          <t xml:space="preserve">EA</t>
        </is>
      </c>
      <c r="I9" s="5" t="str">
        <f>IF(J9="APPROVED",ROUND(D9*H9,2),"")</f>
        <v/>
      </c>
      <c r="J9" s="4" t="inlineStr">
        <is>
          <t xml:space="preserve">MISSING_PRICE</t>
        </is>
      </c>
      <c r="K9" s="0" t="inlineStr">
        <is>
          <t xml:space="preserve">No approved price for this exact SKU</t>
        </is>
      </c>
      <c r="L9" s="0" t="inlineStr">
        <is>
          <t xml:space="preserve">CAT-DEMO-V1:row5</t>
        </is>
      </c>
    </row>
    <row r="10" ht="20" customHeight="1">
      <c r="A10" s="0">
        <v>6</v>
      </c>
      <c r="B10" s="0" t="inlineStr">
        <is>
          <t xml:space="preserve">CON-DUP</t>
        </is>
      </c>
      <c r="C10" s="0" t="inlineStr">
        <is>
          <t xml:space="preserve">Connector fitting</t>
        </is>
      </c>
      <c r="D10" s="0">
        <v>2</v>
      </c>
      <c r="E10" s="0" t="inlineStr">
        <is>
          <t xml:space="preserve">EA</t>
        </is>
      </c>
      <c r="I10" s="5" t="str">
        <f>IF(J10="APPROVED",ROUND(D10*H10,2),"")</f>
        <v/>
      </c>
      <c r="J10" s="4" t="inlineStr">
        <is>
          <t xml:space="preserve">AMBIGUOUS_CATALOGUE</t>
        </is>
      </c>
      <c r="K10" s="0" t="inlineStr">
        <is>
          <t xml:space="preserve">Several catalogue entries share this code</t>
        </is>
      </c>
      <c r="L10" s="0" t="inlineStr">
        <is>
          <t xml:space="preserve">CAT-DEMO-V1:row6; CAT-DEMO-V1:row7</t>
        </is>
      </c>
      <c r="M10" s="0" t="inlineStr">
        <is>
          <t xml:space="preserve">PR-DEMO-V1:row5</t>
        </is>
      </c>
    </row>
    <row r="11" ht="20" customHeight="1">
      <c r="A11" s="0">
        <v>7</v>
      </c>
      <c r="B11" s="0" t="inlineStr">
        <is>
          <t xml:space="preserve">CAB-5M</t>
        </is>
      </c>
      <c r="C11" s="0" t="inlineStr">
        <is>
          <t xml:space="preserve">Power cable 5 metres</t>
        </is>
      </c>
      <c r="D11" s="0">
        <v>2</v>
      </c>
      <c r="E11" s="0" t="inlineStr">
        <is>
          <t xml:space="preserve">EA</t>
        </is>
      </c>
      <c r="F11" s="0" t="inlineStr">
        <is>
          <t xml:space="preserve">Power cable 5 metres</t>
        </is>
      </c>
      <c r="G11" s="0" t="inlineStr">
        <is>
          <t xml:space="preserve">EA</t>
        </is>
      </c>
      <c r="I11" s="5" t="str">
        <f>IF(J11="APPROVED",ROUND(D11*H11,2),"")</f>
        <v/>
      </c>
      <c r="J11" s="4" t="inlineStr">
        <is>
          <t xml:space="preserve">AMBIGUOUS_PRICE</t>
        </is>
      </c>
      <c r="K11" s="0" t="inlineStr">
        <is>
          <t xml:space="preserve">Multiple prices found; human must choose reference</t>
        </is>
      </c>
      <c r="L11" s="0" t="inlineStr">
        <is>
          <t xml:space="preserve">CAT-DEMO-V1:row8</t>
        </is>
      </c>
      <c r="M11" s="0" t="inlineStr">
        <is>
          <t xml:space="preserve">PR-DEMO-V1:row6; PR-DEMO-V1:row7</t>
        </is>
      </c>
    </row>
    <row r="12" ht="20" customHeight="1">
      <c r="A12" s="0">
        <v>8</v>
      </c>
      <c r="B12" s="0" t="inlineStr">
        <is>
          <t xml:space="preserve">CLIP-01</t>
        </is>
      </c>
      <c r="C12" s="0" t="inlineStr">
        <is>
          <t xml:space="preserve">Cable clip pack</t>
        </is>
      </c>
      <c r="D12" s="0">
        <v>7</v>
      </c>
      <c r="E12" s="0" t="inlineStr">
        <is>
          <t xml:space="preserve">PK</t>
        </is>
      </c>
      <c r="F12" s="0" t="inlineStr">
        <is>
          <t xml:space="preserve">Cable clip pack</t>
        </is>
      </c>
      <c r="G12" s="0" t="inlineStr">
        <is>
          <t xml:space="preserve">PK</t>
        </is>
      </c>
      <c r="I12" s="5" t="str">
        <f>IF(J12="APPROVED",ROUND(D12*H12,2),"")</f>
        <v/>
      </c>
      <c r="J12" s="4" t="inlineStr">
        <is>
          <t xml:space="preserve">UNAPPROVED_PRICE</t>
        </is>
      </c>
      <c r="K12" s="0" t="inlineStr">
        <is>
          <t xml:space="preserve">Price approval flag is not yes</t>
        </is>
      </c>
      <c r="L12" s="0" t="inlineStr">
        <is>
          <t xml:space="preserve">CAT-DEMO-V1:row9</t>
        </is>
      </c>
      <c r="M12" s="0" t="inlineStr">
        <is>
          <t xml:space="preserve">PR-DEMO-V1:row8</t>
        </is>
      </c>
    </row>
    <row r="13" ht="20" customHeight="1">
      <c r="A13" s="0">
        <v>9</v>
      </c>
      <c r="B13" s="0" t="inlineStr">
        <is>
          <t xml:space="preserve">EURO-01</t>
        </is>
      </c>
      <c r="C13" s="0" t="inlineStr">
        <is>
          <t xml:space="preserve">European fitting</t>
        </is>
      </c>
      <c r="D13" s="0">
        <v>1</v>
      </c>
      <c r="E13" s="0" t="inlineStr">
        <is>
          <t xml:space="preserve">EA</t>
        </is>
      </c>
      <c r="F13" s="0" t="inlineStr">
        <is>
          <t xml:space="preserve">European fitting</t>
        </is>
      </c>
      <c r="G13" s="0" t="inlineStr">
        <is>
          <t xml:space="preserve">EA</t>
        </is>
      </c>
      <c r="I13" s="5" t="str">
        <f>IF(J13="APPROVED",ROUND(D13*H13,2),"")</f>
        <v/>
      </c>
      <c r="J13" s="4" t="inlineStr">
        <is>
          <t xml:space="preserve">CURRENCY_MISMATCH</t>
        </is>
      </c>
      <c r="K13" s="0" t="inlineStr">
        <is>
          <t xml:space="preserve">Price currency differs from RFQ currency</t>
        </is>
      </c>
      <c r="L13" s="0" t="inlineStr">
        <is>
          <t xml:space="preserve">CAT-DEMO-V1:row10</t>
        </is>
      </c>
      <c r="M13" s="0" t="inlineStr">
        <is>
          <t xml:space="preserve">PR-DEMO-V1:row9</t>
        </is>
      </c>
    </row>
    <row r="14" ht="20" customHeight="1">
      <c r="A14" s="0">
        <v>10</v>
      </c>
      <c r="B14" s="0" t="inlineStr">
        <is>
          <t xml:space="preserve">OLD-01</t>
        </is>
      </c>
      <c r="C14" s="0" t="inlineStr">
        <is>
          <t xml:space="preserve">Retired terminal</t>
        </is>
      </c>
      <c r="D14" s="0">
        <v>2</v>
      </c>
      <c r="E14" s="0" t="inlineStr">
        <is>
          <t xml:space="preserve">EA</t>
        </is>
      </c>
      <c r="F14" s="0" t="inlineStr">
        <is>
          <t xml:space="preserve">Retired terminal</t>
        </is>
      </c>
      <c r="G14" s="0" t="inlineStr">
        <is>
          <t xml:space="preserve">EA</t>
        </is>
      </c>
      <c r="I14" s="5" t="str">
        <f>IF(J14="APPROVED",ROUND(D14*H14,2),"")</f>
        <v/>
      </c>
      <c r="J14" s="4" t="inlineStr">
        <is>
          <t xml:space="preserve">INACTIVE_SKU</t>
        </is>
      </c>
      <c r="K14" s="0" t="inlineStr">
        <is>
          <t xml:space="preserve">Catalogue item not marked active</t>
        </is>
      </c>
      <c r="L14" s="0" t="inlineStr">
        <is>
          <t xml:space="preserve">CAT-DEMO-V1:row11</t>
        </is>
      </c>
      <c r="M14" s="0" t="inlineStr">
        <is>
          <t xml:space="preserve">PR-DEMO-V1:row10</t>
        </is>
      </c>
    </row>
  </sheetData>
  <autoFilter ref="A4:N14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  <selection pane="bottomLeft" activeCell="A5" sqref="A5"/>
    </sheetView>
  </sheetViews>
  <cols>
    <col min="1" max="1" width="12" customWidth="1"/>
    <col min="2" max="2" width="20" customWidth="1"/>
    <col min="3" max="3" width="40" customWidth="1"/>
    <col min="4" max="4" width="13" customWidth="1"/>
    <col min="5" max="5" width="14" customWidth="1"/>
    <col min="6" max="6" width="24" customWidth="1"/>
    <col min="7" max="7" width="56" customWidth="1"/>
    <col min="8" max="8" width="34" customWidth="1"/>
    <col min="9" max="9" width="33" customWidth="1"/>
    <col min="10" max="10" width="31" customWidth="1"/>
    <col min="11" max="11" width="42" customWidth="1"/>
  </cols>
  <sheetData>
    <row r="1" ht="24" customHeight="1">
      <c r="A1" s="6" t="inlineStr">
        <is>
          <t xml:space="preserve">HUMAN REVIEW QUEUE — NOTHING AUTO-APPROVED</t>
        </is>
      </c>
    </row>
    <row r="2" ht="20" customHeight="1">
      <c r="A2" s="0" t="inlineStr">
        <is>
          <t xml:space="preserve">Do not approve substitutions or prices in this demo. Use notes for verification with client.</t>
        </is>
      </c>
    </row>
    <row r="3" ht="20" customHeight="1"/>
    <row r="4" ht="20" customHeight="1">
      <c r="A4" s="1" t="inlineStr">
        <is>
          <t xml:space="preserve">RFQ line</t>
        </is>
      </c>
      <c r="B4" s="1" t="inlineStr">
        <is>
          <t xml:space="preserve">SKU</t>
        </is>
      </c>
      <c r="C4" s="1" t="inlineStr">
        <is>
          <t xml:space="preserve">Requested description</t>
        </is>
      </c>
      <c r="D4" s="1" t="inlineStr">
        <is>
          <t xml:space="preserve">Quantity</t>
        </is>
      </c>
      <c r="E4" s="1" t="inlineStr">
        <is>
          <t xml:space="preserve">Unit</t>
        </is>
      </c>
      <c r="F4" s="1" t="inlineStr">
        <is>
          <t xml:space="preserve">Hold reason</t>
        </is>
      </c>
      <c r="G4" s="1" t="inlineStr">
        <is>
          <t xml:space="preserve">Review guidance</t>
        </is>
      </c>
      <c r="H4" s="1" t="inlineStr">
        <is>
          <t xml:space="preserve">Catalogue candidates</t>
        </is>
      </c>
      <c r="I4" s="1" t="inlineStr">
        <is>
          <t xml:space="preserve">Price candidates</t>
        </is>
      </c>
      <c r="J4" s="1" t="inlineStr">
        <is>
          <t xml:space="preserve">Reviewer disposition (manual)</t>
        </is>
      </c>
      <c r="K4" s="1" t="inlineStr">
        <is>
          <t xml:space="preserve">Reviewer notes (manual)</t>
        </is>
      </c>
    </row>
    <row r="5" ht="20" customHeight="1">
      <c r="A5" s="0">
        <v>3</v>
      </c>
      <c r="B5" s="0" t="inlineStr">
        <is>
          <t xml:space="preserve">NOT-999</t>
        </is>
      </c>
      <c r="C5" s="0" t="inlineStr">
        <is>
          <t xml:space="preserve">Imaginary DIN rail adaptor</t>
        </is>
      </c>
      <c r="D5" s="0">
        <v>1</v>
      </c>
      <c r="E5" s="0" t="inlineStr">
        <is>
          <t xml:space="preserve">EA</t>
        </is>
      </c>
      <c r="F5" s="4" t="inlineStr">
        <is>
          <t xml:space="preserve">UNKNOWN_SKU</t>
        </is>
      </c>
      <c r="G5" s="0" t="inlineStr">
        <is>
          <t xml:space="preserve">Code absent from catalogue; no description substitution</t>
        </is>
      </c>
    </row>
    <row r="6" ht="20" customHeight="1">
      <c r="A6" s="0">
        <v>4</v>
      </c>
      <c r="B6" s="0" t="inlineStr">
        <is>
          <t xml:space="preserve">LGT-12W</t>
        </is>
      </c>
      <c r="C6" s="0" t="inlineStr">
        <is>
          <t xml:space="preserve">LED downlight 12W</t>
        </is>
      </c>
      <c r="D6" s="0">
        <v>5</v>
      </c>
      <c r="E6" s="0" t="inlineStr">
        <is>
          <t xml:space="preserve">M</t>
        </is>
      </c>
      <c r="F6" s="4" t="inlineStr">
        <is>
          <t xml:space="preserve">UNIT_MISMATCH</t>
        </is>
      </c>
      <c r="G6" s="0" t="inlineStr">
        <is>
          <t xml:space="preserve">Unit mismatch; no implicit pack or length conversion</t>
        </is>
      </c>
      <c r="H6" s="0" t="inlineStr">
        <is>
          <t xml:space="preserve">CAT-DEMO-V1:row4</t>
        </is>
      </c>
      <c r="I6" s="0" t="inlineStr">
        <is>
          <t xml:space="preserve">PR-DEMO-V1:row4</t>
        </is>
      </c>
    </row>
    <row r="7" ht="20" customHeight="1">
      <c r="A7" s="0">
        <v>5</v>
      </c>
      <c r="B7" s="0" t="inlineStr">
        <is>
          <t xml:space="preserve">SWT-ONE</t>
        </is>
      </c>
      <c r="C7" s="0" t="inlineStr">
        <is>
          <t xml:space="preserve">Single gang wall switch</t>
        </is>
      </c>
      <c r="D7" s="0">
        <v>6</v>
      </c>
      <c r="E7" s="0" t="inlineStr">
        <is>
          <t xml:space="preserve">EA</t>
        </is>
      </c>
      <c r="F7" s="4" t="inlineStr">
        <is>
          <t xml:space="preserve">MISSING_PRICE</t>
        </is>
      </c>
      <c r="G7" s="0" t="inlineStr">
        <is>
          <t xml:space="preserve">No approved price for this exact SKU</t>
        </is>
      </c>
      <c r="H7" s="0" t="inlineStr">
        <is>
          <t xml:space="preserve">CAT-DEMO-V1:row5</t>
        </is>
      </c>
    </row>
    <row r="8" ht="20" customHeight="1">
      <c r="A8" s="0">
        <v>6</v>
      </c>
      <c r="B8" s="0" t="inlineStr">
        <is>
          <t xml:space="preserve">CON-DUP</t>
        </is>
      </c>
      <c r="C8" s="0" t="inlineStr">
        <is>
          <t xml:space="preserve">Connector fitting</t>
        </is>
      </c>
      <c r="D8" s="0">
        <v>2</v>
      </c>
      <c r="E8" s="0" t="inlineStr">
        <is>
          <t xml:space="preserve">EA</t>
        </is>
      </c>
      <c r="F8" s="4" t="inlineStr">
        <is>
          <t xml:space="preserve">AMBIGUOUS_CATALOGUE</t>
        </is>
      </c>
      <c r="G8" s="0" t="inlineStr">
        <is>
          <t xml:space="preserve">Several catalogue entries share this code</t>
        </is>
      </c>
      <c r="H8" s="0" t="inlineStr">
        <is>
          <t xml:space="preserve">CAT-DEMO-V1:row6; CAT-DEMO-V1:row7</t>
        </is>
      </c>
      <c r="I8" s="0" t="inlineStr">
        <is>
          <t xml:space="preserve">PR-DEMO-V1:row5</t>
        </is>
      </c>
    </row>
    <row r="9" ht="20" customHeight="1">
      <c r="A9" s="0">
        <v>7</v>
      </c>
      <c r="B9" s="0" t="inlineStr">
        <is>
          <t xml:space="preserve">CAB-5M</t>
        </is>
      </c>
      <c r="C9" s="0" t="inlineStr">
        <is>
          <t xml:space="preserve">Power cable 5 metres</t>
        </is>
      </c>
      <c r="D9" s="0">
        <v>2</v>
      </c>
      <c r="E9" s="0" t="inlineStr">
        <is>
          <t xml:space="preserve">EA</t>
        </is>
      </c>
      <c r="F9" s="4" t="inlineStr">
        <is>
          <t xml:space="preserve">AMBIGUOUS_PRICE</t>
        </is>
      </c>
      <c r="G9" s="0" t="inlineStr">
        <is>
          <t xml:space="preserve">Multiple prices found; human must choose reference</t>
        </is>
      </c>
      <c r="H9" s="0" t="inlineStr">
        <is>
          <t xml:space="preserve">CAT-DEMO-V1:row8</t>
        </is>
      </c>
      <c r="I9" s="0" t="inlineStr">
        <is>
          <t xml:space="preserve">PR-DEMO-V1:row6; PR-DEMO-V1:row7</t>
        </is>
      </c>
    </row>
    <row r="10" ht="20" customHeight="1">
      <c r="A10" s="0">
        <v>8</v>
      </c>
      <c r="B10" s="0" t="inlineStr">
        <is>
          <t xml:space="preserve">CLIP-01</t>
        </is>
      </c>
      <c r="C10" s="0" t="inlineStr">
        <is>
          <t xml:space="preserve">Cable clip pack</t>
        </is>
      </c>
      <c r="D10" s="0">
        <v>7</v>
      </c>
      <c r="E10" s="0" t="inlineStr">
        <is>
          <t xml:space="preserve">PK</t>
        </is>
      </c>
      <c r="F10" s="4" t="inlineStr">
        <is>
          <t xml:space="preserve">UNAPPROVED_PRICE</t>
        </is>
      </c>
      <c r="G10" s="0" t="inlineStr">
        <is>
          <t xml:space="preserve">Price approval flag is not yes</t>
        </is>
      </c>
      <c r="H10" s="0" t="inlineStr">
        <is>
          <t xml:space="preserve">CAT-DEMO-V1:row9</t>
        </is>
      </c>
      <c r="I10" s="0" t="inlineStr">
        <is>
          <t xml:space="preserve">PR-DEMO-V1:row8</t>
        </is>
      </c>
    </row>
    <row r="11" ht="20" customHeight="1">
      <c r="A11" s="0">
        <v>9</v>
      </c>
      <c r="B11" s="0" t="inlineStr">
        <is>
          <t xml:space="preserve">EURO-01</t>
        </is>
      </c>
      <c r="C11" s="0" t="inlineStr">
        <is>
          <t xml:space="preserve">European fitting</t>
        </is>
      </c>
      <c r="D11" s="0">
        <v>1</v>
      </c>
      <c r="E11" s="0" t="inlineStr">
        <is>
          <t xml:space="preserve">EA</t>
        </is>
      </c>
      <c r="F11" s="4" t="inlineStr">
        <is>
          <t xml:space="preserve">CURRENCY_MISMATCH</t>
        </is>
      </c>
      <c r="G11" s="0" t="inlineStr">
        <is>
          <t xml:space="preserve">Price currency differs from RFQ currency</t>
        </is>
      </c>
      <c r="H11" s="0" t="inlineStr">
        <is>
          <t xml:space="preserve">CAT-DEMO-V1:row10</t>
        </is>
      </c>
      <c r="I11" s="0" t="inlineStr">
        <is>
          <t xml:space="preserve">PR-DEMO-V1:row9</t>
        </is>
      </c>
    </row>
    <row r="12" ht="20" customHeight="1">
      <c r="A12" s="0">
        <v>10</v>
      </c>
      <c r="B12" s="0" t="inlineStr">
        <is>
          <t xml:space="preserve">OLD-01</t>
        </is>
      </c>
      <c r="C12" s="0" t="inlineStr">
        <is>
          <t xml:space="preserve">Retired terminal</t>
        </is>
      </c>
      <c r="D12" s="0">
        <v>2</v>
      </c>
      <c r="E12" s="0" t="inlineStr">
        <is>
          <t xml:space="preserve">EA</t>
        </is>
      </c>
      <c r="F12" s="4" t="inlineStr">
        <is>
          <t xml:space="preserve">INACTIVE_SKU</t>
        </is>
      </c>
      <c r="G12" s="0" t="inlineStr">
        <is>
          <t xml:space="preserve">Catalogue item not marked active</t>
        </is>
      </c>
      <c r="H12" s="0" t="inlineStr">
        <is>
          <t xml:space="preserve">CAT-DEMO-V1:row11</t>
        </is>
      </c>
      <c r="I12" s="0" t="inlineStr">
        <is>
          <t xml:space="preserve">PR-DEMO-V1:row10</t>
        </is>
      </c>
    </row>
  </sheetData>
  <autoFilter ref="A4:K11"/>
</worksheet>
</file>